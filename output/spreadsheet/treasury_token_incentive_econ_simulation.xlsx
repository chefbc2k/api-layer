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Actors" sheetId="2" state="visible" r:id="rId2"/>
    <sheet name="Scenarios" sheetId="3" state="visible" r:id="rId3"/>
    <sheet name="Economics" sheetId="4" state="visible" r:id="rId4"/>
    <sheet name="Findings" sheetId="5" state="visible" r:id="rId5"/>
    <sheet name="Checklist" sheetId="6" state="visible" r:id="rId6"/>
    <sheet name="Risks" sheetId="7" state="visible" r:id="rId7"/>
    <sheet name="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BFF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6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Units</t>
        </is>
      </c>
      <c r="D1" s="1" t="inlineStr">
        <is>
          <t>Notes / Source</t>
        </is>
      </c>
    </row>
    <row r="2">
      <c r="A2" t="inlineStr">
        <is>
          <t>token_symbol</t>
        </is>
      </c>
      <c r="B2" s="2" t="inlineStr">
        <is>
          <t>ECHO</t>
        </is>
      </c>
      <c r="C2" t="inlineStr">
        <is>
          <t>text</t>
        </is>
      </c>
      <c r="D2" t="inlineStr">
        <is>
          <t>https://localhost/internal-simulation-assumptions</t>
        </is>
      </c>
    </row>
    <row r="3">
      <c r="A3" t="inlineStr">
        <is>
          <t>payment_token_symbol</t>
        </is>
      </c>
      <c r="B3" s="2" t="inlineStr">
        <is>
          <t>USDC</t>
        </is>
      </c>
      <c r="C3" t="inlineStr">
        <is>
          <t>text</t>
        </is>
      </c>
      <c r="D3" t="inlineStr">
        <is>
          <t>https://localhost/internal-simulation-assumptions</t>
        </is>
      </c>
    </row>
    <row r="4">
      <c r="A4" t="inlineStr">
        <is>
          <t>stake_amount</t>
        </is>
      </c>
      <c r="B4" s="2" t="n">
        <v>1000</v>
      </c>
      <c r="C4" t="inlineStr">
        <is>
          <t>tokens</t>
        </is>
      </c>
      <c r="D4" t="inlineStr">
        <is>
          <t>https://localhost/internal-simulation-assumptions</t>
        </is>
      </c>
    </row>
    <row r="5">
      <c r="A5" t="inlineStr">
        <is>
          <t>min_stake</t>
        </is>
      </c>
      <c r="B5" s="2" t="n">
        <v>100</v>
      </c>
      <c r="C5" t="inlineStr">
        <is>
          <t>tokens</t>
        </is>
      </c>
      <c r="D5" t="inlineStr">
        <is>
          <t>https://localhost/internal-simulation-assumptions</t>
        </is>
      </c>
    </row>
    <row r="6">
      <c r="A6" t="inlineStr">
        <is>
          <t>reward_campaign_funding</t>
        </is>
      </c>
      <c r="B6" s="2" t="n">
        <v>5000</v>
      </c>
      <c r="C6" t="inlineStr">
        <is>
          <t>tokens</t>
        </is>
      </c>
      <c r="D6" t="inlineStr">
        <is>
          <t>https://localhost/internal-simulation-assumptions</t>
        </is>
      </c>
    </row>
    <row r="7">
      <c r="A7" t="inlineStr">
        <is>
          <t>reward_claim_amount</t>
        </is>
      </c>
      <c r="B7" s="2" t="n">
        <v>500</v>
      </c>
      <c r="C7" t="inlineStr">
        <is>
          <t>tokens</t>
        </is>
      </c>
      <c r="D7" t="inlineStr">
        <is>
          <t>https://localhost/internal-simulation-assumptions</t>
        </is>
      </c>
    </row>
    <row r="8">
      <c r="A8" t="inlineStr">
        <is>
          <t>reward_campaign_max_total</t>
        </is>
      </c>
      <c r="B8" s="2" t="n">
        <v>10000</v>
      </c>
      <c r="C8" t="inlineStr">
        <is>
          <t>tokens</t>
        </is>
      </c>
      <c r="D8" t="inlineStr">
        <is>
          <t>https://localhost/internal-simulation-assumptions</t>
        </is>
      </c>
    </row>
    <row r="9">
      <c r="A9" t="inlineStr">
        <is>
          <t>vesting_total</t>
        </is>
      </c>
      <c r="B9" s="2" t="n">
        <v>12000</v>
      </c>
      <c r="C9" t="inlineStr">
        <is>
          <t>tokens</t>
        </is>
      </c>
      <c r="D9" t="inlineStr">
        <is>
          <t>https://localhost/internal-simulation-assumptions</t>
        </is>
      </c>
    </row>
    <row r="10">
      <c r="A10" t="inlineStr">
        <is>
          <t>vesting_release_amount</t>
        </is>
      </c>
      <c r="B10" s="2" t="n">
        <v>1000</v>
      </c>
      <c r="C10" t="inlineStr">
        <is>
          <t>tokens</t>
        </is>
      </c>
      <c r="D10" t="inlineStr">
        <is>
          <t>https://localhost/internal-simulation-assumptions</t>
        </is>
      </c>
    </row>
    <row r="11">
      <c r="A11" t="inlineStr">
        <is>
          <t>marketplace_sale_price</t>
        </is>
      </c>
      <c r="B11" s="2" t="n">
        <v>1000</v>
      </c>
      <c r="C11" t="inlineStr">
        <is>
          <t>USDC</t>
        </is>
      </c>
      <c r="D11" t="inlineStr">
        <is>
          <t>https://localhost/internal-simulation-assumptions</t>
        </is>
      </c>
    </row>
    <row r="12">
      <c r="A12" t="inlineStr">
        <is>
          <t>treasury_fee_bps</t>
        </is>
      </c>
      <c r="B12" s="2" t="n">
        <v>500</v>
      </c>
      <c r="C12" t="inlineStr">
        <is>
          <t>bps</t>
        </is>
      </c>
      <c r="D12" t="inlineStr">
        <is>
          <t>https://localhost/internal-simulation-assumptions</t>
        </is>
      </c>
    </row>
    <row r="13">
      <c r="A13" t="inlineStr">
        <is>
          <t>devfund_fee_bps</t>
        </is>
      </c>
      <c r="B13" s="2" t="n">
        <v>250</v>
      </c>
      <c r="C13" t="inlineStr">
        <is>
          <t>bps</t>
        </is>
      </c>
      <c r="D13" t="inlineStr">
        <is>
          <t>https://localhost/internal-simulation-assumptions</t>
        </is>
      </c>
    </row>
    <row r="14">
      <c r="A14" t="inlineStr">
        <is>
          <t>union_fee_bps</t>
        </is>
      </c>
      <c r="B14" s="2" t="n">
        <v>500</v>
      </c>
      <c r="C14" t="inlineStr">
        <is>
          <t>bps</t>
        </is>
      </c>
      <c r="D14" t="inlineStr">
        <is>
          <t>https://localhost/internal-simulation-assumptions</t>
        </is>
      </c>
    </row>
    <row r="15">
      <c r="A15" t="inlineStr">
        <is>
          <t>note</t>
        </is>
      </c>
      <c r="B15" s="2" t="inlineStr">
        <is>
          <t>Fork blocked: system-configuration NULL object crash</t>
        </is>
      </c>
      <c r="C15" t="inlineStr">
        <is>
          <t>text</t>
        </is>
      </c>
      <c r="D15" t="inlineStr">
        <is>
          <t>https://localhost/internal-simulation-assumptions</t>
        </is>
      </c>
    </row>
    <row r="16">
      <c r="A16" t="inlineStr">
        <is>
          <t>total_fee_bps</t>
        </is>
      </c>
      <c r="B16" s="3">
        <f>B11+B12+B13</f>
        <v/>
      </c>
      <c r="C16" t="inlineStr">
        <is>
          <t>bps</t>
        </is>
      </c>
      <c r="D16" t="inlineStr">
        <is>
          <t>https://localhost/internal-simulation-assumptions</t>
        </is>
      </c>
    </row>
    <row r="17">
      <c r="A17" t="inlineStr">
        <is>
          <t>seller_bps</t>
        </is>
      </c>
      <c r="B17" s="3">
        <f>10000-B14</f>
        <v/>
      </c>
      <c r="C17" t="inlineStr">
        <is>
          <t>bps</t>
        </is>
      </c>
      <c r="D17" t="inlineStr">
        <is>
          <t>https://localhost/internal-simulation-assumptions</t>
        </is>
      </c>
    </row>
    <row r="18">
      <c r="A18" t="inlineStr">
        <is>
          <t>seller_payout</t>
        </is>
      </c>
      <c r="B18" s="3">
        <f>B10*B15/10000</f>
        <v/>
      </c>
      <c r="C18" t="inlineStr">
        <is>
          <t>USDC</t>
        </is>
      </c>
      <c r="D18" t="inlineStr">
        <is>
          <t>https://localhost/internal-simulation-assumptions</t>
        </is>
      </c>
    </row>
    <row r="19">
      <c r="A19" t="inlineStr">
        <is>
          <t>treasury_payout</t>
        </is>
      </c>
      <c r="B19" s="3">
        <f>B10*B11/10000</f>
        <v/>
      </c>
      <c r="C19" t="inlineStr">
        <is>
          <t>USDC</t>
        </is>
      </c>
      <c r="D19" t="inlineStr">
        <is>
          <t>https://localhost/internal-simulation-assumptions</t>
        </is>
      </c>
    </row>
    <row r="20">
      <c r="A20" t="inlineStr">
        <is>
          <t>devfund_payout</t>
        </is>
      </c>
      <c r="B20" s="3">
        <f>B10*B12/10000</f>
        <v/>
      </c>
      <c r="C20" t="inlineStr">
        <is>
          <t>USDC</t>
        </is>
      </c>
      <c r="D20" t="inlineStr">
        <is>
          <t>https://localhost/internal-simulation-assumptions</t>
        </is>
      </c>
    </row>
    <row r="21">
      <c r="A21" t="inlineStr">
        <is>
          <t>union_payout</t>
        </is>
      </c>
      <c r="B21" s="3">
        <f>B10*B13/10000</f>
        <v/>
      </c>
      <c r="C21" t="inlineStr">
        <is>
          <t>USDC</t>
        </is>
      </c>
      <c r="D21" t="inlineStr">
        <is>
          <t>https://localhost/internal-simulation-assumptions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2" customWidth="1" min="4" max="4"/>
    <col width="24" customWidth="1" min="5" max="5"/>
    <col width="18" customWidth="1" min="6" max="6"/>
  </cols>
  <sheetData>
    <row r="1">
      <c r="A1" s="1" t="inlineStr">
        <is>
          <t>Actor</t>
        </is>
      </c>
      <c r="B1" s="1" t="inlineStr">
        <is>
          <t>Role</t>
        </is>
      </c>
      <c r="C1" s="1" t="inlineStr">
        <is>
          <t>Starting Token Balance</t>
        </is>
      </c>
      <c r="D1" s="1" t="inlineStr">
        <is>
          <t>Starting USDC Balance</t>
        </is>
      </c>
      <c r="E1" s="1" t="inlineStr">
        <is>
          <t>Starting Pending Payments</t>
        </is>
      </c>
      <c r="F1" s="1" t="inlineStr">
        <is>
          <t>Notes</t>
        </is>
      </c>
    </row>
    <row r="2">
      <c r="A2" t="inlineStr">
        <is>
          <t>founder/admin</t>
        </is>
      </c>
      <c r="B2" t="inlineStr">
        <is>
          <t>governance + config</t>
        </is>
      </c>
      <c r="C2" t="n">
        <v>100000</v>
      </c>
      <c r="D2" t="n">
        <v>0</v>
      </c>
      <c r="E2" t="n">
        <v>0</v>
      </c>
      <c r="F2" t="inlineStr">
        <is>
          <t>modelled</t>
        </is>
      </c>
    </row>
    <row r="3">
      <c r="A3" t="inlineStr">
        <is>
          <t>operator</t>
        </is>
      </c>
      <c r="B3" t="inlineStr">
        <is>
          <t>ops + rewards</t>
        </is>
      </c>
      <c r="C3" t="n">
        <v>10000</v>
      </c>
      <c r="D3" t="n">
        <v>0</v>
      </c>
      <c r="E3" t="n">
        <v>0</v>
      </c>
      <c r="F3" t="inlineStr">
        <is>
          <t>modelled</t>
        </is>
      </c>
    </row>
    <row r="4">
      <c r="A4" t="inlineStr">
        <is>
          <t>participant</t>
        </is>
      </c>
      <c r="B4" t="inlineStr">
        <is>
          <t>staking/claim</t>
        </is>
      </c>
      <c r="C4" t="n">
        <v>2000</v>
      </c>
      <c r="D4" t="n">
        <v>0</v>
      </c>
      <c r="E4" t="n">
        <v>0</v>
      </c>
      <c r="F4" t="inlineStr">
        <is>
          <t>modelled</t>
        </is>
      </c>
    </row>
    <row r="5">
      <c r="A5" t="inlineStr">
        <is>
          <t>collaborator</t>
        </is>
      </c>
      <c r="B5" t="inlineStr">
        <is>
          <t>rights/usage</t>
        </is>
      </c>
      <c r="C5" t="n">
        <v>0</v>
      </c>
      <c r="D5" t="n">
        <v>0</v>
      </c>
      <c r="E5" t="n">
        <v>0</v>
      </c>
      <c r="F5" t="inlineStr">
        <is>
          <t>modelled</t>
        </is>
      </c>
    </row>
    <row r="6">
      <c r="A6" t="inlineStr">
        <is>
          <t>seller</t>
        </is>
      </c>
      <c r="B6" t="inlineStr">
        <is>
          <t>commercialization</t>
        </is>
      </c>
      <c r="C6" t="n">
        <v>0</v>
      </c>
      <c r="D6" t="n">
        <v>0</v>
      </c>
      <c r="E6" t="n">
        <v>0</v>
      </c>
      <c r="F6" t="inlineStr">
        <is>
          <t>modelled</t>
        </is>
      </c>
    </row>
    <row r="7">
      <c r="A7" t="inlineStr">
        <is>
          <t>buyer</t>
        </is>
      </c>
      <c r="B7" t="inlineStr">
        <is>
          <t>purchase</t>
        </is>
      </c>
      <c r="C7" t="n">
        <v>0</v>
      </c>
      <c r="D7" t="n">
        <v>2000</v>
      </c>
      <c r="E7" t="n">
        <v>0</v>
      </c>
      <c r="F7" t="inlineStr">
        <is>
          <t>modelled</t>
        </is>
      </c>
    </row>
    <row r="8">
      <c r="A8" t="inlineStr">
        <is>
          <t>treasury/payee</t>
        </is>
      </c>
      <c r="B8" t="inlineStr">
        <is>
          <t>protocol revenue</t>
        </is>
      </c>
      <c r="C8" t="n">
        <v>0</v>
      </c>
      <c r="D8" t="n">
        <v>0</v>
      </c>
      <c r="E8" t="n">
        <v>0</v>
      </c>
      <c r="F8" t="inlineStr">
        <is>
          <t>modelled</t>
        </is>
      </c>
    </row>
    <row r="9">
      <c r="A9" t="inlineStr">
        <is>
          <t>emergency/admin</t>
        </is>
      </c>
      <c r="B9" t="inlineStr">
        <is>
          <t>emergency authority</t>
        </is>
      </c>
      <c r="C9" t="n">
        <v>0</v>
      </c>
      <c r="D9" t="n">
        <v>0</v>
      </c>
      <c r="E9" t="n">
        <v>0</v>
      </c>
      <c r="F9" t="inlineStr">
        <is>
          <t>modelled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40" customWidth="1" min="3" max="3"/>
    <col width="34" customWidth="1" min="4" max="4"/>
    <col width="30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Primary Workflow / Route</t>
        </is>
      </c>
      <c r="D1" s="1" t="inlineStr">
        <is>
          <t>Starting State</t>
        </is>
      </c>
      <c r="E1" s="1" t="inlineStr">
        <is>
          <t>Expected Outcome</t>
        </is>
      </c>
      <c r="F1" s="1" t="inlineStr">
        <is>
          <t>Fork Required</t>
        </is>
      </c>
      <c r="G1" s="1" t="inlineStr">
        <is>
          <t>Fork Status</t>
        </is>
      </c>
      <c r="H1" s="1" t="inlineStr">
        <is>
          <t>Notes</t>
        </is>
      </c>
    </row>
    <row r="2">
      <c r="A2" t="n">
        <v>1</v>
      </c>
      <c r="B2" t="inlineStr">
        <is>
          <t>staking + delegation + reward campaign setup</t>
        </is>
      </c>
      <c r="C2" t="inlineStr">
        <is>
          <t>stake-and-delegate, create-reward-campaign</t>
        </is>
      </c>
      <c r="D2" t="inlineStr">
        <is>
          <t>stake=0, campaign funding=0</t>
        </is>
      </c>
      <c r="E2" t="inlineStr">
        <is>
          <t>stake+campaign created</t>
        </is>
      </c>
      <c r="F2" t="inlineStr">
        <is>
          <t>yes</t>
        </is>
      </c>
      <c r="G2" t="inlineStr">
        <is>
          <t>blocked</t>
        </is>
      </c>
      <c r="H2" t="inlineStr">
        <is>
          <t>modelled in Economics</t>
        </is>
      </c>
    </row>
    <row r="3">
      <c r="A3" t="n">
        <v>2</v>
      </c>
      <c r="B3" t="inlineStr">
        <is>
          <t>reward claim with funding</t>
        </is>
      </c>
      <c r="C3" t="inlineStr">
        <is>
          <t>claim-reward-campaign</t>
        </is>
      </c>
      <c r="D3" t="inlineStr">
        <is>
          <t>campaign funded</t>
        </is>
      </c>
      <c r="E3" t="inlineStr">
        <is>
          <t>claim succeeds</t>
        </is>
      </c>
      <c r="F3" t="inlineStr">
        <is>
          <t>yes</t>
        </is>
      </c>
      <c r="G3" t="inlineStr">
        <is>
          <t>blocked</t>
        </is>
      </c>
      <c r="H3" t="inlineStr">
        <is>
          <t>modelled</t>
        </is>
      </c>
    </row>
    <row r="4">
      <c r="A4" t="n">
        <v>3</v>
      </c>
      <c r="B4" t="inlineStr">
        <is>
          <t>reward claim without funding</t>
        </is>
      </c>
      <c r="C4" t="inlineStr">
        <is>
          <t>claim-reward-campaign</t>
        </is>
      </c>
      <c r="D4" t="inlineStr">
        <is>
          <t>campaign unfunded</t>
        </is>
      </c>
      <c r="E4" t="inlineStr">
        <is>
          <t>honest block</t>
        </is>
      </c>
      <c r="F4" t="inlineStr">
        <is>
          <t>yes</t>
        </is>
      </c>
      <c r="G4" t="inlineStr">
        <is>
          <t>blocked</t>
        </is>
      </c>
      <c r="H4" t="inlineStr">
        <is>
          <t>modelled</t>
        </is>
      </c>
    </row>
    <row r="5">
      <c r="A5" t="n">
        <v>4</v>
      </c>
      <c r="B5" t="inlineStr">
        <is>
          <t>vesting creation/release/revoke</t>
        </is>
      </c>
      <c r="C5" t="inlineStr">
        <is>
          <t>create-beneficiary-vesting, release-beneficiary-vesting</t>
        </is>
      </c>
      <c r="D5" t="inlineStr">
        <is>
          <t>no schedule</t>
        </is>
      </c>
      <c r="E5" t="inlineStr">
        <is>
          <t>schedule exists + release</t>
        </is>
      </c>
      <c r="F5" t="inlineStr">
        <is>
          <t>yes</t>
        </is>
      </c>
      <c r="G5" t="inlineStr">
        <is>
          <t>blocked</t>
        </is>
      </c>
      <c r="H5" t="inlineStr">
        <is>
          <t>modelled</t>
        </is>
      </c>
    </row>
    <row r="6">
      <c r="A6" t="n">
        <v>5</v>
      </c>
      <c r="B6" t="inlineStr">
        <is>
          <t>marketplace payout accumulation</t>
        </is>
      </c>
      <c r="C6" t="inlineStr">
        <is>
          <t>purchase-marketplace-asset</t>
        </is>
      </c>
      <c r="D6" t="inlineStr">
        <is>
          <t>listing active</t>
        </is>
      </c>
      <c r="E6" t="inlineStr">
        <is>
          <t>pending balances increase</t>
        </is>
      </c>
      <c r="F6" t="inlineStr">
        <is>
          <t>yes</t>
        </is>
      </c>
      <c r="G6" t="inlineStr">
        <is>
          <t>blocked</t>
        </is>
      </c>
      <c r="H6" t="inlineStr">
        <is>
          <t>modelled</t>
        </is>
      </c>
    </row>
    <row r="7">
      <c r="A7" t="n">
        <v>6</v>
      </c>
      <c r="B7" t="inlineStr">
        <is>
          <t>marketplace withdrawal</t>
        </is>
      </c>
      <c r="C7" t="inlineStr">
        <is>
          <t>withdraw-marketplace-payments</t>
        </is>
      </c>
      <c r="D7" t="inlineStr">
        <is>
          <t>pending &gt; 0</t>
        </is>
      </c>
      <c r="E7" t="inlineStr">
        <is>
          <t>pending cleared</t>
        </is>
      </c>
      <c r="F7" t="inlineStr">
        <is>
          <t>yes</t>
        </is>
      </c>
      <c r="G7" t="inlineStr">
        <is>
          <t>blocked</t>
        </is>
      </c>
      <c r="H7" t="inlineStr">
        <is>
          <t>modelled</t>
        </is>
      </c>
    </row>
    <row r="8">
      <c r="A8" t="n">
        <v>7</v>
      </c>
      <c r="B8" t="inlineStr">
        <is>
          <t>participant activation incentive flow</t>
        </is>
      </c>
      <c r="C8" t="inlineStr">
        <is>
          <t>participant-activation-flow</t>
        </is>
      </c>
      <c r="D8" t="inlineStr">
        <is>
          <t>stake + campaign + claim</t>
        </is>
      </c>
      <c r="E8" t="inlineStr">
        <is>
          <t>claim + vesting</t>
        </is>
      </c>
      <c r="F8" t="inlineStr">
        <is>
          <t>yes</t>
        </is>
      </c>
      <c r="G8" t="inlineStr">
        <is>
          <t>blocked</t>
        </is>
      </c>
      <c r="H8" t="inlineStr">
        <is>
          <t>modelled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Scenario</t>
        </is>
      </c>
      <c r="B1" s="1" t="inlineStr">
        <is>
          <t>Stake Before</t>
        </is>
      </c>
      <c r="C1" s="1" t="inlineStr">
        <is>
          <t>Stake After</t>
        </is>
      </c>
      <c r="D1" s="1" t="inlineStr">
        <is>
          <t>Stake Delta</t>
        </is>
      </c>
      <c r="E1" s="1" t="inlineStr">
        <is>
          <t>Campaign Funding Before</t>
        </is>
      </c>
      <c r="F1" s="1" t="inlineStr">
        <is>
          <t>Campaign Funding After</t>
        </is>
      </c>
      <c r="G1" s="1" t="inlineStr">
        <is>
          <t>Funding Delta</t>
        </is>
      </c>
      <c r="H1" s="1" t="inlineStr">
        <is>
          <t>Claimable Before</t>
        </is>
      </c>
      <c r="I1" s="1" t="inlineStr">
        <is>
          <t>Claimable After</t>
        </is>
      </c>
      <c r="J1" s="1" t="inlineStr">
        <is>
          <t>Claim Delta</t>
        </is>
      </c>
      <c r="K1" s="1" t="inlineStr">
        <is>
          <t>Pending Before</t>
        </is>
      </c>
      <c r="L1" s="1" t="inlineStr">
        <is>
          <t>Pending After</t>
        </is>
      </c>
      <c r="M1" s="1" t="inlineStr">
        <is>
          <t>Pending Delta</t>
        </is>
      </c>
      <c r="N1" s="1" t="inlineStr">
        <is>
          <t>Vesting Total Before</t>
        </is>
      </c>
      <c r="O1" s="1" t="inlineStr">
        <is>
          <t>Vesting Total After</t>
        </is>
      </c>
      <c r="P1" s="1" t="inlineStr">
        <is>
          <t>Vesting Total Delta</t>
        </is>
      </c>
      <c r="Q1" s="1" t="inlineStr">
        <is>
          <t>Vesting Released Before</t>
        </is>
      </c>
      <c r="R1" s="1" t="inlineStr">
        <is>
          <t>Vesting Released After</t>
        </is>
      </c>
      <c r="S1" s="1" t="inlineStr">
        <is>
          <t>Vesting Released Delta</t>
        </is>
      </c>
      <c r="T1" s="1" t="inlineStr">
        <is>
          <t>Treasury Balance Before</t>
        </is>
      </c>
      <c r="U1" s="1" t="inlineStr">
        <is>
          <t>Treasury Balance After</t>
        </is>
      </c>
      <c r="V1" s="1" t="inlineStr">
        <is>
          <t>Treasury Delta</t>
        </is>
      </c>
      <c r="W1" s="1" t="inlineStr">
        <is>
          <t>Seller Balance Before</t>
        </is>
      </c>
      <c r="X1" s="1" t="inlineStr">
        <is>
          <t>Seller Balance After</t>
        </is>
      </c>
      <c r="Y1" s="1" t="inlineStr">
        <is>
          <t>Seller Delta</t>
        </is>
      </c>
    </row>
    <row r="2">
      <c r="A2" s="4" t="inlineStr">
        <is>
          <t>1. Stake + campaign setup</t>
        </is>
      </c>
      <c r="B2" s="5" t="n">
        <v>0</v>
      </c>
      <c r="C2" s="5">
        <f>Assumptions!B3</f>
        <v/>
      </c>
      <c r="D2">
        <f>C2-B2</f>
        <v/>
      </c>
      <c r="E2" s="5" t="n">
        <v>0</v>
      </c>
      <c r="F2" s="5">
        <f>Assumptions!B5</f>
        <v/>
      </c>
      <c r="G2">
        <f>F2-E2</f>
        <v/>
      </c>
      <c r="H2" s="5" t="n">
        <v>0</v>
      </c>
      <c r="I2" s="5" t="n">
        <v>0</v>
      </c>
      <c r="J2">
        <f>I2-H2</f>
        <v/>
      </c>
      <c r="K2" s="5" t="n">
        <v>0</v>
      </c>
      <c r="L2" s="5" t="n">
        <v>0</v>
      </c>
      <c r="M2">
        <f>L2-K2</f>
        <v/>
      </c>
      <c r="N2" s="5" t="n">
        <v>0</v>
      </c>
      <c r="O2" s="5" t="n">
        <v>0</v>
      </c>
      <c r="P2">
        <f>O2-N2</f>
        <v/>
      </c>
      <c r="Q2" s="5" t="n">
        <v>0</v>
      </c>
      <c r="R2" s="5" t="n">
        <v>0</v>
      </c>
      <c r="S2">
        <f>R2-Q2</f>
        <v/>
      </c>
      <c r="T2" s="5" t="n">
        <v>0</v>
      </c>
      <c r="U2" s="5" t="n">
        <v>0</v>
      </c>
      <c r="V2">
        <f>U2-T2</f>
        <v/>
      </c>
      <c r="W2" s="5" t="n">
        <v>0</v>
      </c>
      <c r="X2" s="5" t="n">
        <v>0</v>
      </c>
      <c r="Y2">
        <f>X2-W2</f>
        <v/>
      </c>
    </row>
    <row r="3">
      <c r="A3" s="4" t="inlineStr">
        <is>
          <t>2. Claim with funding</t>
        </is>
      </c>
      <c r="B3" s="5">
        <f>Assumptions!B3</f>
        <v/>
      </c>
      <c r="C3" s="5">
        <f>Assumptions!B3</f>
        <v/>
      </c>
      <c r="D3">
        <f>C3-B3</f>
        <v/>
      </c>
      <c r="E3" s="5">
        <f>Assumptions!B5</f>
        <v/>
      </c>
      <c r="F3" s="5">
        <f>Assumptions!B5-Assumptions!B6</f>
        <v/>
      </c>
      <c r="G3">
        <f>F3-E3</f>
        <v/>
      </c>
      <c r="H3" s="5">
        <f>Assumptions!B6</f>
        <v/>
      </c>
      <c r="I3" s="5" t="n">
        <v>0</v>
      </c>
      <c r="J3">
        <f>I3-H3</f>
        <v/>
      </c>
      <c r="K3" s="5" t="n">
        <v>0</v>
      </c>
      <c r="L3" s="5" t="n">
        <v>0</v>
      </c>
      <c r="M3">
        <f>L3-K3</f>
        <v/>
      </c>
      <c r="N3" s="5" t="n">
        <v>0</v>
      </c>
      <c r="O3" s="5" t="n">
        <v>0</v>
      </c>
      <c r="P3">
        <f>O3-N3</f>
        <v/>
      </c>
      <c r="Q3" s="5" t="n">
        <v>0</v>
      </c>
      <c r="R3" s="5" t="n">
        <v>0</v>
      </c>
      <c r="S3">
        <f>R3-Q3</f>
        <v/>
      </c>
      <c r="T3" s="5" t="n">
        <v>0</v>
      </c>
      <c r="U3" s="5" t="n">
        <v>0</v>
      </c>
      <c r="V3">
        <f>U3-T3</f>
        <v/>
      </c>
      <c r="W3" s="5" t="n">
        <v>0</v>
      </c>
      <c r="X3" s="5" t="n">
        <v>0</v>
      </c>
      <c r="Y3">
        <f>X3-W3</f>
        <v/>
      </c>
    </row>
    <row r="4">
      <c r="A4" s="4" t="inlineStr">
        <is>
          <t>3. Claim without funding (blocked)</t>
        </is>
      </c>
      <c r="B4" s="5">
        <f>Assumptions!B3</f>
        <v/>
      </c>
      <c r="C4" s="5">
        <f>Assumptions!B3</f>
        <v/>
      </c>
      <c r="D4">
        <f>C4-B4</f>
        <v/>
      </c>
      <c r="E4" s="5" t="n">
        <v>0</v>
      </c>
      <c r="F4" s="5" t="n">
        <v>0</v>
      </c>
      <c r="G4">
        <f>F4-E4</f>
        <v/>
      </c>
      <c r="H4" s="5">
        <f>Assumptions!B6</f>
        <v/>
      </c>
      <c r="I4" s="5">
        <f>Assumptions!B6</f>
        <v/>
      </c>
      <c r="J4">
        <f>I4-H4</f>
        <v/>
      </c>
      <c r="K4" s="5" t="n">
        <v>0</v>
      </c>
      <c r="L4" s="5" t="n">
        <v>0</v>
      </c>
      <c r="M4">
        <f>L4-K4</f>
        <v/>
      </c>
      <c r="N4" s="5" t="n">
        <v>0</v>
      </c>
      <c r="O4" s="5" t="n">
        <v>0</v>
      </c>
      <c r="P4">
        <f>O4-N4</f>
        <v/>
      </c>
      <c r="Q4" s="5" t="n">
        <v>0</v>
      </c>
      <c r="R4" s="5" t="n">
        <v>0</v>
      </c>
      <c r="S4">
        <f>R4-Q4</f>
        <v/>
      </c>
      <c r="T4" s="5" t="n">
        <v>0</v>
      </c>
      <c r="U4" s="5" t="n">
        <v>0</v>
      </c>
      <c r="V4">
        <f>U4-T4</f>
        <v/>
      </c>
      <c r="W4" s="5" t="n">
        <v>0</v>
      </c>
      <c r="X4" s="5" t="n">
        <v>0</v>
      </c>
      <c r="Y4">
        <f>X4-W4</f>
        <v/>
      </c>
    </row>
    <row r="5">
      <c r="A5" s="4" t="inlineStr">
        <is>
          <t>4. Vesting create + release</t>
        </is>
      </c>
      <c r="B5" s="5" t="n">
        <v>0</v>
      </c>
      <c r="C5" s="5" t="n">
        <v>0</v>
      </c>
      <c r="D5">
        <f>C5-B5</f>
        <v/>
      </c>
      <c r="E5" s="5" t="n">
        <v>0</v>
      </c>
      <c r="F5" s="5" t="n">
        <v>0</v>
      </c>
      <c r="G5">
        <f>F5-E5</f>
        <v/>
      </c>
      <c r="H5" s="5" t="n">
        <v>0</v>
      </c>
      <c r="I5" s="5" t="n">
        <v>0</v>
      </c>
      <c r="J5">
        <f>I5-H5</f>
        <v/>
      </c>
      <c r="K5" s="5" t="n">
        <v>0</v>
      </c>
      <c r="L5" s="5" t="n">
        <v>0</v>
      </c>
      <c r="M5">
        <f>L5-K5</f>
        <v/>
      </c>
      <c r="N5" s="5" t="n">
        <v>0</v>
      </c>
      <c r="O5" s="5">
        <f>Assumptions!B8</f>
        <v/>
      </c>
      <c r="P5">
        <f>O5-N5</f>
        <v/>
      </c>
      <c r="Q5" s="5" t="n">
        <v>0</v>
      </c>
      <c r="R5" s="5">
        <f>Assumptions!B9</f>
        <v/>
      </c>
      <c r="S5">
        <f>R5-Q5</f>
        <v/>
      </c>
      <c r="T5" s="5" t="n">
        <v>0</v>
      </c>
      <c r="U5" s="5" t="n">
        <v>0</v>
      </c>
      <c r="V5">
        <f>U5-T5</f>
        <v/>
      </c>
      <c r="W5" s="5" t="n">
        <v>0</v>
      </c>
      <c r="X5" s="5" t="n">
        <v>0</v>
      </c>
      <c r="Y5">
        <f>X5-W5</f>
        <v/>
      </c>
    </row>
    <row r="6">
      <c r="A6" s="4" t="inlineStr">
        <is>
          <t>5. Marketplace sale pending accrual</t>
        </is>
      </c>
      <c r="B6" s="5" t="n">
        <v>0</v>
      </c>
      <c r="C6" s="5" t="n">
        <v>0</v>
      </c>
      <c r="D6">
        <f>C6-B6</f>
        <v/>
      </c>
      <c r="E6" s="5" t="n">
        <v>0</v>
      </c>
      <c r="F6" s="5" t="n">
        <v>0</v>
      </c>
      <c r="G6">
        <f>F6-E6</f>
        <v/>
      </c>
      <c r="H6" s="5" t="n">
        <v>0</v>
      </c>
      <c r="I6" s="5" t="n">
        <v>0</v>
      </c>
      <c r="J6">
        <f>I6-H6</f>
        <v/>
      </c>
      <c r="K6" s="5" t="n">
        <v>0</v>
      </c>
      <c r="L6" s="5">
        <f>Assumptions!B16</f>
        <v/>
      </c>
      <c r="M6">
        <f>L6-K6</f>
        <v/>
      </c>
      <c r="N6" s="5" t="n">
        <v>0</v>
      </c>
      <c r="O6" s="5" t="n">
        <v>0</v>
      </c>
      <c r="P6">
        <f>O6-N6</f>
        <v/>
      </c>
      <c r="Q6" s="5" t="n">
        <v>0</v>
      </c>
      <c r="R6" s="5" t="n">
        <v>0</v>
      </c>
      <c r="S6">
        <f>R6-Q6</f>
        <v/>
      </c>
      <c r="T6" s="5" t="n">
        <v>0</v>
      </c>
      <c r="U6" s="5">
        <f>Assumptions!B17</f>
        <v/>
      </c>
      <c r="V6">
        <f>U6-T6</f>
        <v/>
      </c>
      <c r="W6" s="5" t="n">
        <v>0</v>
      </c>
      <c r="X6" s="5" t="n">
        <v>0</v>
      </c>
      <c r="Y6">
        <f>X6-W6</f>
        <v/>
      </c>
    </row>
    <row r="7">
      <c r="A7" s="4" t="inlineStr">
        <is>
          <t>6. Withdrawal clears pending</t>
        </is>
      </c>
      <c r="B7" s="5" t="n">
        <v>0</v>
      </c>
      <c r="C7" s="5" t="n">
        <v>0</v>
      </c>
      <c r="D7">
        <f>C7-B7</f>
        <v/>
      </c>
      <c r="E7" s="5" t="n">
        <v>0</v>
      </c>
      <c r="F7" s="5" t="n">
        <v>0</v>
      </c>
      <c r="G7">
        <f>F7-E7</f>
        <v/>
      </c>
      <c r="H7" s="5" t="n">
        <v>0</v>
      </c>
      <c r="I7" s="5" t="n">
        <v>0</v>
      </c>
      <c r="J7">
        <f>I7-H7</f>
        <v/>
      </c>
      <c r="K7" s="5">
        <f>Assumptions!B16</f>
        <v/>
      </c>
      <c r="L7" s="5" t="n">
        <v>0</v>
      </c>
      <c r="M7">
        <f>L7-K7</f>
        <v/>
      </c>
      <c r="N7" s="5" t="n">
        <v>0</v>
      </c>
      <c r="O7" s="5" t="n">
        <v>0</v>
      </c>
      <c r="P7">
        <f>O7-N7</f>
        <v/>
      </c>
      <c r="Q7" s="5" t="n">
        <v>0</v>
      </c>
      <c r="R7" s="5" t="n">
        <v>0</v>
      </c>
      <c r="S7">
        <f>R7-Q7</f>
        <v/>
      </c>
      <c r="T7" s="5">
        <f>Assumptions!B17</f>
        <v/>
      </c>
      <c r="U7" s="5">
        <f>Assumptions!B17</f>
        <v/>
      </c>
      <c r="V7">
        <f>U7-T7</f>
        <v/>
      </c>
      <c r="W7" s="5" t="n">
        <v>0</v>
      </c>
      <c r="X7" s="5">
        <f>Assumptions!B16</f>
        <v/>
      </c>
      <c r="Y7">
        <f>X7-W7</f>
        <v/>
      </c>
    </row>
    <row r="8">
      <c r="A8" s="4" t="inlineStr">
        <is>
          <t>7. Participant activation package</t>
        </is>
      </c>
      <c r="B8" s="5" t="n">
        <v>0</v>
      </c>
      <c r="C8" s="5">
        <f>Assumptions!B3</f>
        <v/>
      </c>
      <c r="D8">
        <f>C8-B8</f>
        <v/>
      </c>
      <c r="E8" s="5">
        <f>Assumptions!B5</f>
        <v/>
      </c>
      <c r="F8" s="5">
        <f>Assumptions!B5-Assumptions!B6</f>
        <v/>
      </c>
      <c r="G8">
        <f>F8-E8</f>
        <v/>
      </c>
      <c r="H8" s="5">
        <f>Assumptions!B6</f>
        <v/>
      </c>
      <c r="I8" s="5" t="n">
        <v>0</v>
      </c>
      <c r="J8">
        <f>I8-H8</f>
        <v/>
      </c>
      <c r="K8" s="5" t="n">
        <v>0</v>
      </c>
      <c r="L8" s="5" t="n">
        <v>0</v>
      </c>
      <c r="M8">
        <f>L8-K8</f>
        <v/>
      </c>
      <c r="N8" s="5" t="n">
        <v>0</v>
      </c>
      <c r="O8" s="5">
        <f>Assumptions!B8</f>
        <v/>
      </c>
      <c r="P8">
        <f>O8-N8</f>
        <v/>
      </c>
      <c r="Q8" s="5" t="n">
        <v>0</v>
      </c>
      <c r="R8" s="5">
        <f>Assumptions!B9</f>
        <v/>
      </c>
      <c r="S8">
        <f>R8-Q8</f>
        <v/>
      </c>
      <c r="T8" s="5" t="n">
        <v>0</v>
      </c>
      <c r="U8" s="5" t="n">
        <v>0</v>
      </c>
      <c r="V8">
        <f>U8-T8</f>
        <v/>
      </c>
      <c r="W8" s="5" t="n">
        <v>0</v>
      </c>
      <c r="X8" s="5" t="n">
        <v>0</v>
      </c>
      <c r="Y8">
        <f>X8-W8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  <col width="14" customWidth="1" min="4" max="4"/>
    <col width="40" customWidth="1" min="5" max="5"/>
  </cols>
  <sheetData>
    <row r="1">
      <c r="A1" s="1" t="inlineStr">
        <is>
          <t>Finding</t>
        </is>
      </c>
      <c r="B1" s="1" t="inlineStr">
        <is>
          <t>Scenario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Claim blocked when campaign unfunded</t>
        </is>
      </c>
      <c r="B2" t="inlineStr">
        <is>
          <t>3</t>
        </is>
      </c>
      <c r="C2" t="inlineStr">
        <is>
          <t>honest block</t>
        </is>
      </c>
      <c r="D2" t="inlineStr">
        <is>
          <t>modelled</t>
        </is>
      </c>
      <c r="E2" t="inlineStr">
        <is>
          <t>matches claim-reward-campaign normalization</t>
        </is>
      </c>
    </row>
    <row r="3">
      <c r="A3" t="inlineStr">
        <is>
          <t>Withdrawal blocked when pending = 0</t>
        </is>
      </c>
      <c r="B3" t="inlineStr">
        <is>
          <t>6</t>
        </is>
      </c>
      <c r="C3" t="inlineStr">
        <is>
          <t>honest block</t>
        </is>
      </c>
      <c r="D3" t="inlineStr">
        <is>
          <t>modelled</t>
        </is>
      </c>
      <c r="E3" t="inlineStr">
        <is>
          <t>withdraw-marketplace-payments requires pending &gt; 0</t>
        </is>
      </c>
    </row>
    <row r="4">
      <c r="A4" t="inlineStr">
        <is>
          <t>Stake blocked if EchoScore &lt; min</t>
        </is>
      </c>
      <c r="B4" t="inlineStr">
        <is>
          <t>1</t>
        </is>
      </c>
      <c r="C4" t="inlineStr">
        <is>
          <t>honest block</t>
        </is>
      </c>
      <c r="D4" t="inlineStr">
        <is>
          <t>not simulated</t>
        </is>
      </c>
      <c r="E4" t="inlineStr">
        <is>
          <t>requires fork to measure state</t>
        </is>
      </c>
    </row>
    <row r="5">
      <c r="A5" t="inlineStr">
        <is>
          <t>Campaign claim fails with invalid proof</t>
        </is>
      </c>
      <c r="B5" t="inlineStr">
        <is>
          <t>2</t>
        </is>
      </c>
      <c r="C5" t="inlineStr">
        <is>
          <t>honest block</t>
        </is>
      </c>
      <c r="D5" t="inlineStr">
        <is>
          <t>not simulated</t>
        </is>
      </c>
      <c r="E5" t="inlineStr">
        <is>
          <t>requires fork + merkle fixture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  <col width="12" customWidth="1" min="4" max="4"/>
  </cols>
  <sheetData>
    <row r="1">
      <c r="A1" s="1" t="inlineStr">
        <is>
          <t>Checklist Item</t>
        </is>
      </c>
      <c r="B1" s="1" t="inlineStr">
        <is>
          <t>Why</t>
        </is>
      </c>
      <c r="C1" s="1" t="inlineStr">
        <is>
          <t>Owner</t>
        </is>
      </c>
      <c r="D1" s="1" t="inlineStr">
        <is>
          <t>Status</t>
        </is>
      </c>
    </row>
    <row r="2">
      <c r="A2" t="inlineStr">
        <is>
          <t>Seed reward campaign funding</t>
        </is>
      </c>
      <c r="B2" t="inlineStr">
        <is>
          <t>Claims fail without funding</t>
        </is>
      </c>
      <c r="C2" t="inlineStr">
        <is>
          <t>treasury/operator</t>
        </is>
      </c>
      <c r="D2" t="inlineStr">
        <is>
          <t>open</t>
        </is>
      </c>
    </row>
    <row r="3">
      <c r="A3" t="inlineStr">
        <is>
          <t>Fund staking participants</t>
        </is>
      </c>
      <c r="B3" t="inlineStr">
        <is>
          <t>Stake requires token balance</t>
        </is>
      </c>
      <c r="C3" t="inlineStr">
        <is>
          <t>operator</t>
        </is>
      </c>
      <c r="D3" t="inlineStr">
        <is>
          <t>open</t>
        </is>
      </c>
    </row>
    <row r="4">
      <c r="A4" t="inlineStr">
        <is>
          <t>Set treasury payout addresses</t>
        </is>
      </c>
      <c r="B4" t="inlineStr">
        <is>
          <t>Revenue routing</t>
        </is>
      </c>
      <c r="C4" t="inlineStr">
        <is>
          <t>admin</t>
        </is>
      </c>
      <c r="D4" t="inlineStr">
        <is>
          <t>open</t>
        </is>
      </c>
    </row>
    <row r="5">
      <c r="A5" t="inlineStr">
        <is>
          <t>Confirm marketplace pause flags</t>
        </is>
      </c>
      <c r="B5" t="inlineStr">
        <is>
          <t>Purchases/withdrawals block when paused</t>
        </is>
      </c>
      <c r="C5" t="inlineStr">
        <is>
          <t>operator</t>
        </is>
      </c>
      <c r="D5" t="inlineStr">
        <is>
          <t>open</t>
        </is>
      </c>
    </row>
    <row r="6">
      <c r="A6" t="inlineStr">
        <is>
          <t>Pre-create vesting schedules</t>
        </is>
      </c>
      <c r="B6" t="inlineStr">
        <is>
          <t>Release fails without schedule</t>
        </is>
      </c>
      <c r="C6" t="inlineStr">
        <is>
          <t>admin</t>
        </is>
      </c>
      <c r="D6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45" customWidth="1" min="3" max="3"/>
  </cols>
  <sheetData>
    <row r="1">
      <c r="A1" s="1" t="inlineStr">
        <is>
          <t>Risk</t>
        </is>
      </c>
      <c r="B1" s="1" t="inlineStr">
        <is>
          <t>Impact</t>
        </is>
      </c>
      <c r="C1" s="1" t="inlineStr">
        <is>
          <t>Mitigation</t>
        </is>
      </c>
    </row>
    <row r="2">
      <c r="A2" t="inlineStr">
        <is>
          <t>Fork simulation blocked locally</t>
        </is>
      </c>
      <c r="B2" t="inlineStr">
        <is>
          <t>No on-chain tx receipts for economic flows</t>
        </is>
      </c>
      <c r="C2" t="inlineStr">
        <is>
          <t>Run fork on supported environment or upgrade system proxy stack</t>
        </is>
      </c>
    </row>
    <row r="3">
      <c r="A3" t="inlineStr">
        <is>
          <t>Reward claims fail due to funding</t>
        </is>
      </c>
      <c r="B3" t="inlineStr">
        <is>
          <t>User rewards blocked</t>
        </is>
      </c>
      <c r="C3" t="inlineStr">
        <is>
          <t>Fund campaigns before go-live; alert on low balances</t>
        </is>
      </c>
    </row>
    <row r="4">
      <c r="A4" t="inlineStr">
        <is>
          <t>Pending payouts accumulate without sweep</t>
        </is>
      </c>
      <c r="B4" t="inlineStr">
        <is>
          <t>Seller/treasury cashflow stalls</t>
        </is>
      </c>
      <c r="C4" t="inlineStr">
        <is>
          <t>Schedule payout sweeps; monitor pending</t>
        </is>
      </c>
    </row>
    <row r="5">
      <c r="A5" t="inlineStr">
        <is>
          <t>Vesting cliff delays releases</t>
        </is>
      </c>
      <c r="B5" t="inlineStr">
        <is>
          <t>Perceived payout delay</t>
        </is>
      </c>
      <c r="C5" t="inlineStr">
        <is>
          <t>Surface cliff schedule in UI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</t>
        </is>
      </c>
      <c r="B1" t="inlineStr">
        <is>
          <t>2026-03-16T02:48:52.925421Z</t>
        </is>
      </c>
    </row>
    <row r="2">
      <c r="A2" t="inlineStr">
        <is>
          <t>Model Version</t>
        </is>
      </c>
      <c r="B2" t="inlineStr">
        <is>
          <t>1.0</t>
        </is>
      </c>
    </row>
    <row r="3">
      <c r="A3" t="inlineStr">
        <is>
          <t>Fork Status</t>
        </is>
      </c>
      <c r="B3" t="inlineStr">
        <is>
          <t>blocked: system-configuration NULL object crash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2026-03-16T02:48:52Z</dcterms:created>
  <dcterms:modified xsi:type="dcterms:W3CDTF">2026-03-16T02:48:52Z</dcterms:modified>
</cp:coreProperties>
</file>